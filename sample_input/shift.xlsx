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ngdh5.VINGROUP\Desktop\"/>
    </mc:Choice>
  </mc:AlternateContent>
  <xr:revisionPtr revIDLastSave="0" documentId="8_{32AC3A15-192B-43C5-A71D-AAEBDAD7C10C}" xr6:coauthVersionLast="47" xr6:coauthVersionMax="47" xr10:uidLastSave="{00000000-0000-0000-0000-000000000000}"/>
  <bookViews>
    <workbookView xWindow="-108" yWindow="-108" windowWidth="23256" windowHeight="12456" xr2:uid="{BA4E355D-55BB-4BEE-BD6D-31A31B5BAE8E}"/>
  </bookViews>
  <sheets>
    <sheet name="Master Data Ca" sheetId="1" r:id="rId1"/>
  </sheets>
  <externalReferences>
    <externalReference r:id="rId2"/>
  </externalReferences>
  <definedNames>
    <definedName name="__IntlFixup" hidden="1">TRUE</definedName>
    <definedName name="_a1" hidden="1">{"'Sheet1'!$L$16"}</definedName>
    <definedName name="_Fill" hidden="1">#REF!</definedName>
    <definedName name="_xlnm._FilterDatabase" localSheetId="0" hidden="1">'Master Data Ca'!$A$1:$F$60</definedName>
    <definedName name="_xlnm._FilterDatabase" hidden="1">#REF!</definedName>
    <definedName name="_Key1" hidden="1">#REF!</definedName>
    <definedName name="_Key2" hidden="1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T01" hidden="1">#REF!</definedName>
    <definedName name="_xlcn.WorksheetConnection_BCKQKDDữLiệunguồnA22CJ9999991" hidden="1">#REF!</definedName>
    <definedName name="_xlcn.WorksheetConnection_OHA9AQ1000001" hidden="1">#REF!</definedName>
    <definedName name="AAAAAAAAAAAAA" hidden="1">#REF!</definedName>
    <definedName name="Danh_muc_DV">#REF!</definedName>
    <definedName name="data1" hidden="1">#REF!</definedName>
    <definedName name="data2" hidden="1">#REF!</definedName>
    <definedName name="data3" hidden="1">#REF!</definedName>
    <definedName name="Discount" hidden="1">#REF!</definedName>
    <definedName name="display_area_2" hidden="1">#REF!</definedName>
    <definedName name="FCode" hidden="1">#REF!</definedName>
    <definedName name="GioiTinh">#REF!</definedName>
    <definedName name="h" hidden="1">{"'Sheet1'!$L$16"}</definedName>
    <definedName name="hanh" hidden="1">{"'Sheet1'!$L$16"}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istMaLoaiGT">#REF!</definedName>
    <definedName name="ListNoiCap">INDEX(NoiCap,MATCH(#REF!,[0]!ListMaLoaiGT,0)):INDEX(NoiCap,MATCH(#REF!,[0]!ListMaLoaiGT))</definedName>
    <definedName name="ListXaHuyen">INDEX(TenPhuong,MATCH(#REF!,MaPhuong,0)):INDEX(TenPhuong,MATCH(#REF!,MaPhuong))</definedName>
    <definedName name="LoaiGiayTo">#REF!</definedName>
    <definedName name="MaGioiTinh">#REF!</definedName>
    <definedName name="MaLoaiGiayTo">#REF!</definedName>
    <definedName name="MaNoiCap">#REF!</definedName>
    <definedName name="MaPhuong">#REF!</definedName>
    <definedName name="MaQuan">#REF!</definedName>
    <definedName name="MaQuanHe">#REF!</definedName>
    <definedName name="MaQuocGia">#REF!</definedName>
    <definedName name="MaQuocTich">#REF!</definedName>
    <definedName name="Nam" hidden="1">#REF!</definedName>
    <definedName name="NoiCap">#REF!</definedName>
    <definedName name="OrderTable" hidden="1">#REF!</definedName>
    <definedName name="ProdForm" hidden="1">#REF!</definedName>
    <definedName name="Product" hidden="1">#REF!</definedName>
    <definedName name="q" hidden="1">{"'Sheet1'!$L$16"}</definedName>
    <definedName name="QuocTich">#REF!</definedName>
    <definedName name="RCArea" hidden="1">#REF!</definedName>
    <definedName name="SpecialPrice" hidden="1">#REF!</definedName>
    <definedName name="tbl_ProdInfo" hidden="1">#REF!</definedName>
    <definedName name="TenPhuong">#REF!</definedName>
    <definedName name="TenQuan">#REF!</definedName>
    <definedName name="TenQuocGia">#REF!</definedName>
    <definedName name="TenTinh">#REF!</definedName>
    <definedName name="Test">INDEX([0]!TenQuan,MATCH(#REF!,[0]!MaQuan,0)):INDEX([0]!TenQuan,MATCH(#REF!,[0]!MaQuan))</definedName>
    <definedName name="TT">#REF!</definedName>
    <definedName name="w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<sst xmlns="http://schemas.openxmlformats.org/spreadsheetml/2006/main" count="228" uniqueCount="108">
  <si>
    <t>STT</t>
  </si>
  <si>
    <t>Ký hiệu ca</t>
  </si>
  <si>
    <t>Giờ vào</t>
  </si>
  <si>
    <t>Giờ ra</t>
  </si>
  <si>
    <t>Tổng thời gian (gồm nghỉ giữa ca)</t>
  </si>
  <si>
    <t>Ngày công</t>
  </si>
  <si>
    <t xml:space="preserve">Ngày phép </t>
  </si>
  <si>
    <t>Giờ công</t>
  </si>
  <si>
    <t>Giờ phép</t>
  </si>
  <si>
    <t>Ghi chú</t>
  </si>
  <si>
    <t>Giờ bắt đầu nghỉ trưa</t>
  </si>
  <si>
    <t>Giờ kết thúc nghỉ trưa</t>
  </si>
  <si>
    <t>Phân loại nguyên nhân</t>
  </si>
  <si>
    <t>Nguyên tắc (cần dựa trên thông tin phê duyệt tại "Phê duyệt của TBP"</t>
  </si>
  <si>
    <t>Đầu ra ở sheet tổng hợp 1</t>
  </si>
  <si>
    <t>Phê duyệt của TBP</t>
  </si>
  <si>
    <t>Ca 8-20</t>
  </si>
  <si>
    <t>Đi muộn/ Về sớm</t>
  </si>
  <si>
    <t>1. Tính phép nếu TBP phê duyệt.
2. Tính không lương nếu TBP không phê duyệt</t>
  </si>
  <si>
    <t>1. Tính phép: vào cột M
2. Tính không lương: vào cột N
3. Tính công bình thường: vào cột L</t>
  </si>
  <si>
    <t>Phê duyệt</t>
  </si>
  <si>
    <t>Ca 11-20</t>
  </si>
  <si>
    <t>Quên chấm công</t>
  </si>
  <si>
    <t>1. Không phê duyệt: tính không lương
2. Có phê duyệt: 
    - Lần 1,2: tính công bình thường
    - Lần 3 trở lên: tính phép</t>
  </si>
  <si>
    <t>Không phê duyệt</t>
  </si>
  <si>
    <t>Ca 9:30-18:30</t>
  </si>
  <si>
    <t>Trị liệu tại nhà</t>
  </si>
  <si>
    <t>1. Tính công bình thường nếu TBP phê duyệt.
2. Tính không lương nếu TBP không phê duyệt</t>
  </si>
  <si>
    <t>Ca 8-17</t>
  </si>
  <si>
    <t>Đi công tác/tổ chức sự kiện/công việc khác theo chỉ đạo</t>
  </si>
  <si>
    <t>Ca 12-21</t>
  </si>
  <si>
    <t>Nghỉ phép cả ngày</t>
  </si>
  <si>
    <t>1. Tính phép bình thường nếu TBP phê duyệt. (thời gian
2. Tính không lương nếu TBP không phê duyệt</t>
  </si>
  <si>
    <t>Ca 12:00-16:00 (nghỉ phép 0.5)</t>
  </si>
  <si>
    <t>NA</t>
  </si>
  <si>
    <t>Nghỉ không lương</t>
  </si>
  <si>
    <t>Ca 12:00-16:00 (không nghỉ phép 0.5)</t>
  </si>
  <si>
    <t>Nghỉ phép nửa ngày</t>
  </si>
  <si>
    <t>Ca 9-18</t>
  </si>
  <si>
    <t>Ca 7:30-16:30</t>
  </si>
  <si>
    <t>Ca 7:30-11:30 (nghỉ phép 0.5)</t>
  </si>
  <si>
    <t>Kết quả</t>
  </si>
  <si>
    <t>Ca 7:30-11:30 (không nghỉ phép 0.5)</t>
  </si>
  <si>
    <t>Công</t>
  </si>
  <si>
    <t>Ca 10-19</t>
  </si>
  <si>
    <t>Không2</t>
  </si>
  <si>
    <t>Ca 8:30-17:30</t>
  </si>
  <si>
    <t>Phép</t>
  </si>
  <si>
    <t>Ca 7-16</t>
  </si>
  <si>
    <t>Không</t>
  </si>
  <si>
    <t>Ca gãy (BC-nghỉ phép 0.5)</t>
  </si>
  <si>
    <t>Đi làm 0.5 ngày, nghỉ phép/bù 0.5 ngày</t>
  </si>
  <si>
    <t>Phép2</t>
  </si>
  <si>
    <t>Ca gãy (BC-không nghỉ phép 0.5)</t>
  </si>
  <si>
    <t>Đi làm 0.5 ngày, nghỉ không lương 0.5 ngày</t>
  </si>
  <si>
    <t>LacTrung</t>
  </si>
  <si>
    <t>Ca đặc thù cho Liên HCNS (ghi nhận 1 công)</t>
  </si>
  <si>
    <t>Ca 9-17</t>
  </si>
  <si>
    <t>Đặc thù</t>
  </si>
  <si>
    <t>Ca 9-16</t>
  </si>
  <si>
    <t>Chuyên gia</t>
  </si>
  <si>
    <t>Ca 9-15</t>
  </si>
  <si>
    <t>Ca 13-17 (nghỉ phép 0.5)</t>
  </si>
  <si>
    <t>Ca 13-17 (không nghỉ phép)</t>
  </si>
  <si>
    <t>Ca 8-12 (nghỉ phép 0.5)</t>
  </si>
  <si>
    <t>Nghỉ</t>
  </si>
  <si>
    <t>Ca 8-12 (không nghỉ phép)</t>
  </si>
  <si>
    <t>Ca 17-21 (nghỉ phép 0.5)</t>
  </si>
  <si>
    <t>Ca 17-21 (không nghỉ phép 0.5)</t>
  </si>
  <si>
    <t>Ca 15-19 (nghỉ phép 0.5)</t>
  </si>
  <si>
    <t>Ca 15-19 (không nghỉ phép 0.5)</t>
  </si>
  <si>
    <t>Ca 13:30 - 17:00</t>
  </si>
  <si>
    <t>Ca 9-14 (nghỉ phép 0.5)</t>
  </si>
  <si>
    <t>Ca 9-14 (không nghỉ phép 0.5)</t>
  </si>
  <si>
    <t>Ca 9-17h30</t>
  </si>
  <si>
    <t>Ca làm việc áp dụng đối với TP Kinh doanh</t>
  </si>
  <si>
    <t>Ca 16-20 (nghỉ phép 0.5)</t>
  </si>
  <si>
    <t>Ca 16-20 (không nghỉ phép 0.5)</t>
  </si>
  <si>
    <t>Ca 10-15 (nghỉ phép 0.5)</t>
  </si>
  <si>
    <t>Ca 10-15 (không nghỉ phép)</t>
  </si>
  <si>
    <t>ONLINE</t>
  </si>
  <si>
    <t>Làm việc online</t>
  </si>
  <si>
    <t>Nghỉ tuần theo lịch</t>
  </si>
  <si>
    <t>Ngày nghỉ hàng tuần</t>
  </si>
  <si>
    <t>VP8h30</t>
  </si>
  <si>
    <t>VP9h</t>
  </si>
  <si>
    <t>Nghỉ phép/bù cả ngày</t>
  </si>
  <si>
    <t>Nghỉ phép/nghỉ bù cả ngày</t>
  </si>
  <si>
    <t>Nghỉ phép/bù nửa ngày</t>
  </si>
  <si>
    <t>Nghỉ phép/nghỉ bù nửa ngày</t>
  </si>
  <si>
    <t>08g00</t>
  </si>
  <si>
    <t>08g30</t>
  </si>
  <si>
    <t>09g30</t>
  </si>
  <si>
    <t>HCKD</t>
  </si>
  <si>
    <t>09g00</t>
  </si>
  <si>
    <t>10g00</t>
  </si>
  <si>
    <t>11g00</t>
  </si>
  <si>
    <t>13H-17H</t>
  </si>
  <si>
    <t>Nghỉ Lễ tết</t>
  </si>
  <si>
    <t>Nghỉ Lễ tết theo quy định của Luật</t>
  </si>
  <si>
    <t>9H-14H</t>
  </si>
  <si>
    <t>F8</t>
  </si>
  <si>
    <t>OFF</t>
  </si>
  <si>
    <t>Ca 14-18 (nghỉ phép 0.5)</t>
  </si>
  <si>
    <t>Ca 14-18 (không nghỉ phép 0.5)</t>
  </si>
  <si>
    <t>Ca 9-13 (không nghỉ phép 0.5)</t>
  </si>
  <si>
    <t>Ca 9-13 (nghỉ phép 0.5)</t>
  </si>
  <si>
    <t>Ca 9:30-13:30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</si>
</sst>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0000]h:mm;@"/>
    <numFmt numFmtId="165" formatCode="_-* #,##0.00_-;\-* #,##0.00_-;_-* &quot;-&quot;??_-;_-@_-"/>
    <numFmt numFmtId="166" formatCode="_-* #,##0.0_-;\-* #,##0.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66" fontId="4" fillId="2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/>
    <xf numFmtId="0" fontId="3" fillId="0" borderId="4" xfId="0" applyFont="1" applyBorder="1"/>
    <xf numFmtId="0" fontId="5" fillId="0" borderId="5" xfId="0" applyFont="1" applyBorder="1" applyAlignment="1">
      <alignment horizontal="center"/>
    </xf>
    <xf numFmtId="0" fontId="6" fillId="0" borderId="4" xfId="0" applyFont="1" applyBorder="1" applyAlignment="1">
      <alignment vertical="center" wrapText="1"/>
    </xf>
    <xf numFmtId="164" fontId="6" fillId="0" borderId="4" xfId="0" applyNumberFormat="1" applyFont="1" applyBorder="1"/>
    <xf numFmtId="166" fontId="6" fillId="0" borderId="4" xfId="1" applyNumberFormat="1" applyFont="1" applyBorder="1"/>
    <xf numFmtId="166" fontId="6" fillId="0" borderId="4" xfId="1" applyNumberFormat="1" applyFont="1" applyFill="1" applyBorder="1"/>
    <xf numFmtId="20" fontId="6" fillId="0" borderId="4" xfId="0" applyNumberFormat="1" applyFont="1" applyBorder="1" applyAlignment="1">
      <alignment horizontal="center"/>
    </xf>
    <xf numFmtId="20" fontId="7" fillId="0" borderId="6" xfId="0" applyNumberFormat="1" applyFont="1" applyBorder="1" applyAlignment="1">
      <alignment horizontal="center"/>
    </xf>
    <xf numFmtId="0" fontId="0" fillId="0" borderId="4" xfId="0" applyBorder="1"/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164" fontId="8" fillId="0" borderId="4" xfId="0" applyNumberFormat="1" applyFont="1" applyBorder="1"/>
    <xf numFmtId="166" fontId="8" fillId="0" borderId="4" xfId="1" applyNumberFormat="1" applyFont="1" applyBorder="1"/>
    <xf numFmtId="166" fontId="8" fillId="0" borderId="4" xfId="1" applyNumberFormat="1" applyFont="1" applyFill="1" applyBorder="1"/>
    <xf numFmtId="20" fontId="8" fillId="0" borderId="4" xfId="0" applyNumberFormat="1" applyFont="1" applyBorder="1" applyAlignment="1">
      <alignment horizontal="center"/>
    </xf>
    <xf numFmtId="20" fontId="9" fillId="0" borderId="6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20" fontId="8" fillId="0" borderId="6" xfId="0" applyNumberFormat="1" applyFont="1" applyBorder="1" applyAlignment="1">
      <alignment horizontal="center"/>
    </xf>
    <xf numFmtId="0" fontId="0" fillId="4" borderId="9" xfId="0" applyFill="1" applyBorder="1"/>
    <xf numFmtId="0" fontId="2" fillId="0" borderId="0" xfId="0" applyFont="1"/>
    <xf numFmtId="0" fontId="3" fillId="3" borderId="5" xfId="0" applyFont="1" applyFill="1" applyBorder="1"/>
    <xf numFmtId="0" fontId="0" fillId="0" borderId="5" xfId="0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9" fillId="0" borderId="4" xfId="0" applyFont="1" applyBorder="1" applyAlignment="1">
      <alignment vertical="center" wrapText="1"/>
    </xf>
    <xf numFmtId="164" fontId="9" fillId="0" borderId="4" xfId="0" applyNumberFormat="1" applyFont="1" applyBorder="1"/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2" fillId="0" borderId="5" xfId="0" applyFont="1" applyBorder="1"/>
    <xf numFmtId="0" fontId="0" fillId="0" borderId="2" xfId="0" applyBorder="1" applyAlignment="1">
      <alignment vertical="center"/>
    </xf>
    <xf numFmtId="164" fontId="9" fillId="0" borderId="4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vertical="center"/>
    </xf>
    <xf numFmtId="0" fontId="7" fillId="0" borderId="4" xfId="0" applyFont="1" applyBorder="1" applyAlignment="1">
      <alignment vertical="center" wrapText="1"/>
    </xf>
    <xf numFmtId="164" fontId="7" fillId="0" borderId="4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4" xfId="1" applyNumberFormat="1" applyFont="1" applyBorder="1"/>
    <xf numFmtId="166" fontId="0" fillId="0" borderId="4" xfId="1" applyNumberFormat="1" applyFont="1" applyBorder="1"/>
    <xf numFmtId="0" fontId="5" fillId="0" borderId="4" xfId="0" applyFont="1" applyBorder="1" applyAlignment="1">
      <alignment vertical="center" wrapText="1"/>
    </xf>
    <xf numFmtId="164" fontId="5" fillId="0" borderId="4" xfId="0" applyNumberFormat="1" applyFont="1" applyBorder="1"/>
    <xf numFmtId="0" fontId="5" fillId="0" borderId="4" xfId="2" applyFont="1" applyBorder="1" applyAlignment="1">
      <alignment vertical="center" wrapText="1"/>
    </xf>
    <xf numFmtId="166" fontId="5" fillId="0" borderId="4" xfId="1" applyNumberFormat="1" applyFont="1" applyFill="1" applyBorder="1"/>
    <xf numFmtId="166" fontId="0" fillId="0" borderId="4" xfId="1" applyNumberFormat="1" applyFont="1" applyFill="1" applyBorder="1"/>
    <xf numFmtId="0" fontId="5" fillId="0" borderId="7" xfId="2" applyFont="1" applyBorder="1" applyAlignment="1">
      <alignment vertical="center" wrapText="1"/>
    </xf>
    <xf numFmtId="164" fontId="9" fillId="0" borderId="7" xfId="0" applyNumberFormat="1" applyFont="1" applyBorder="1"/>
    <xf numFmtId="166" fontId="8" fillId="0" borderId="7" xfId="1" applyNumberFormat="1" applyFont="1" applyBorder="1"/>
    <xf numFmtId="166" fontId="5" fillId="0" borderId="7" xfId="1" applyNumberFormat="1" applyFont="1" applyFill="1" applyBorder="1"/>
    <xf numFmtId="166" fontId="8" fillId="0" borderId="7" xfId="1" applyNumberFormat="1" applyFont="1" applyFill="1" applyBorder="1"/>
    <xf numFmtId="166" fontId="0" fillId="0" borderId="7" xfId="1" applyNumberFormat="1" applyFont="1" applyFill="1" applyBorder="1"/>
    <xf numFmtId="164" fontId="8" fillId="0" borderId="7" xfId="0" applyNumberFormat="1" applyFont="1" applyBorder="1"/>
    <xf numFmtId="0" fontId="9" fillId="0" borderId="7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2" fontId="10" fillId="0" borderId="4" xfId="0" applyNumberFormat="1" applyFont="1" applyBorder="1" applyAlignment="1">
      <alignment horizontal="left" readingOrder="1"/>
    </xf>
    <xf numFmtId="164" fontId="9" fillId="0" borderId="7" xfId="0" applyNumberFormat="1" applyFont="1" applyBorder="1" applyAlignment="1">
      <alignment horizontal="center"/>
    </xf>
    <xf numFmtId="164" fontId="9" fillId="0" borderId="12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3" xfId="2" xr:uid="{7EEF11A2-3DBB-4C0D-920B-229FD14E18A4}"/>
  </cellStyles>
  <dxfs count="24"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_-;\-* #,##0.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ngdh5.VINGROUP\Downloads\SP&#272;.BCC%2011.2025%20BP%20DVKH.03.12.2025.xlsx" TargetMode="External"/><Relationship Id="rId1" Type="http://schemas.openxmlformats.org/officeDocument/2006/relationships/externalLinkPath" Target="/Users/longdh5.VINGROUP/Downloads/SP&#272;.BCC%2011.2025%20BP%20DVKH.03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Data Ca"/>
      <sheetName val="Data phòng ban"/>
      <sheetName val="DATA đầu vào 1"/>
      <sheetName val="THEO DÕI NGHỈ BÙ NĂM 2025"/>
      <sheetName val="Sheet1"/>
      <sheetName val="DL gốc 11.2025"/>
      <sheetName val="Giải trình"/>
      <sheetName val="CBNV Giải trình"/>
      <sheetName val="Tính công"/>
      <sheetName val="TỔNG HỢP CÔNG 11.2025"/>
      <sheetName val="THEO DÕI PHÉP 2025"/>
      <sheetName val="THEO DÕI GIỜ NGHỈ BÙ NĂM 2025"/>
      <sheetName val="TỔNG HỢP1"/>
      <sheetName val="THEO DÕI NGHỈ BÙ 2025"/>
      <sheetName val="THEO DÕI OT QUY NGHỈ BÙ 12.2024"/>
      <sheetName val="Tổng hợp"/>
      <sheetName val="DATA đầu vào 2"/>
      <sheetName val="Đầu ra giải trình"/>
      <sheetName val="Tổng hợp 1"/>
      <sheetName val="Tổng hợp 2"/>
      <sheetName val="Tổng quan đề bà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2AFE9-B1D7-49EF-B1D6-CCF56B954127}" name="masterdata" displayName="masterdata" ref="A1:L60" totalsRowShown="0" headerRowDxfId="19" headerRowBorderDxfId="17" tableBorderDxfId="18" totalsRowBorderDxfId="16">
  <autoFilter ref="A1:L60" xr:uid="{EBDC8660-E940-4D2E-9F7D-FB40C1999EB8}"/>
  <tableColumns count="12">
    <tableColumn id="1" xr3:uid="{FC87679F-4F0C-4DFF-A271-E40200B63B40}" name="STT" dataDxfId="15"/>
    <tableColumn id="3" xr3:uid="{F101657C-08DD-45E6-9B4C-AA9519E23D45}" name="Ký hiệu ca" dataDxfId="14" dataCellStyle="Normal 3"/>
    <tableColumn id="4" xr3:uid="{37BDB5F4-D409-40FB-AF18-18FC01C1107F}" name="Giờ vào" dataDxfId="13"/>
    <tableColumn id="5" xr3:uid="{BF1BDDC5-594F-47B0-B587-1B834747C6D1}" name="Giờ ra" dataDxfId="12"/>
    <tableColumn id="6" xr3:uid="{50FDCCAD-84A2-4C82-BC0E-BF24B6D9D3CC}" name="Tổng thời gian (gồm nghỉ giữa ca)" dataDxfId="11"/>
    <tableColumn id="7" xr3:uid="{2D72B396-5A1A-4216-87F4-CA1E70F7999D}" name="Ngày công" dataDxfId="10"/>
    <tableColumn id="8" xr3:uid="{D698A5D4-82AD-456B-86F7-81ACA18B58A6}" name="Ngày phép " dataDxfId="9"/>
    <tableColumn id="10" xr3:uid="{50F58C35-150D-49F7-8F82-6C93DBF0EAF4}" name="Giờ công" dataDxfId="8"/>
    <tableColumn id="2" xr3:uid="{622B72B5-CE6E-447A-9DDD-A679EEB38B1F}" name="Giờ phép" dataDxfId="7"/>
    <tableColumn id="9" xr3:uid="{A9DC094C-5526-47E7-8BF9-DD9DCD5AEE36}" name="Ghi chú" dataDxfId="6"/>
    <tableColumn id="11" xr3:uid="{CEC0D069-7946-4223-9C53-05988B297672}" name="Giờ bắt đầu nghỉ trưa" dataDxfId="5"/>
    <tableColumn id="12" xr3:uid="{783657EE-A9EA-4771-B200-A04C45FEA287}" name="Giờ kết thúc nghỉ trưa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8E85A-1AC0-48EE-A4DB-4414959B4D45}" name="Table8" displayName="Table8" ref="O11:Q26" totalsRowShown="0" tableBorderDxfId="3">
  <autoFilter ref="O11:Q26" xr:uid="{C7B7AA0B-B2AB-48CC-9E3A-AB12EDC33B13}"/>
  <tableColumns count="3">
    <tableColumn id="1" xr3:uid="{8D24758C-7C22-46A0-938D-B821A626BEE9}" name="Phân loại nguyên nhân" dataDxfId="2"/>
    <tableColumn id="2" xr3:uid="{71DC2789-29EC-4C29-A4A4-8DA508D525B3}" name="Phê duyệt" dataDxfId="1"/>
    <tableColumn id="3" xr3:uid="{911117C6-7841-45FC-829E-15EC306F4D57}" name="Kết quả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74C4-1F7B-4600-8C8E-92D978482540}">
  <dimension ref="A1:T60"/>
  <sheetViews>
    <sheetView tabSelected="1" workbookViewId="0">
      <pane xSplit="2" ySplit="1" topLeftCell="D35" activePane="bottomRight" state="frozen"/>
      <selection pane="topRight" activeCell="C1" sqref="C1"/>
      <selection pane="bottomLeft" activeCell="A2" sqref="A2"/>
      <selection pane="bottomRight" activeCell="B46" sqref="B46"/>
    </sheetView>
  </sheetViews>
  <sheetFormatPr defaultRowHeight="14.4" x14ac:dyDescent="0.3"/>
  <cols>
    <col min="1" max="1" width="8.44140625" bestFit="1" customWidth="1"/>
    <col min="2" max="2" width="37.88671875" customWidth="1"/>
    <col min="3" max="3" width="11.44140625" bestFit="1" customWidth="1"/>
    <col min="4" max="4" width="10.33203125" bestFit="1" customWidth="1"/>
    <col min="5" max="5" width="21.6640625" bestFit="1" customWidth="1"/>
    <col min="6" max="7" width="14.44140625" bestFit="1" customWidth="1"/>
    <col min="8" max="8" width="14.44140625" customWidth="1"/>
    <col min="9" max="9" width="16.109375" customWidth="1"/>
    <col min="10" max="10" width="36" customWidth="1"/>
    <col min="11" max="11" width="12.44140625" bestFit="1" customWidth="1"/>
    <col min="12" max="12" width="13.5546875" customWidth="1"/>
    <col min="14" max="14" width="44.33203125" bestFit="1" customWidth="1"/>
    <col min="15" max="15" width="23.109375" customWidth="1"/>
    <col min="16" max="16" width="12.109375" customWidth="1"/>
    <col min="17" max="17" width="9.6640625" customWidth="1"/>
  </cols>
  <sheetData>
    <row r="1" spans="1:20" ht="46.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5" t="s">
        <v>11</v>
      </c>
      <c r="O1" s="6" t="s">
        <v>12</v>
      </c>
      <c r="P1" s="7" t="s">
        <v>13</v>
      </c>
      <c r="Q1" s="7" t="s">
        <v>14</v>
      </c>
      <c r="T1" s="6" t="s">
        <v>15</v>
      </c>
    </row>
    <row r="2" spans="1:20" ht="15.6" x14ac:dyDescent="0.3">
      <c r="A2" s="8">
        <v>1</v>
      </c>
      <c r="B2" s="9" t="s">
        <v>16</v>
      </c>
      <c r="C2" s="10">
        <v>0.33333333333333331</v>
      </c>
      <c r="D2" s="10">
        <v>0.83333333333333337</v>
      </c>
      <c r="E2" s="11">
        <v>12</v>
      </c>
      <c r="F2" s="12">
        <v>1</v>
      </c>
      <c r="G2" s="12">
        <v>0</v>
      </c>
      <c r="H2" s="12">
        <v>11</v>
      </c>
      <c r="I2" s="12">
        <v>0</v>
      </c>
      <c r="J2" s="10"/>
      <c r="K2" s="13">
        <v>0.5</v>
      </c>
      <c r="L2" s="14">
        <v>0.54166666666666663</v>
      </c>
      <c r="O2" s="15" t="s">
        <v>17</v>
      </c>
      <c r="P2" s="15" t="s">
        <v>18</v>
      </c>
      <c r="Q2" s="16" t="s">
        <v>19</v>
      </c>
      <c r="T2" s="15" t="s">
        <v>20</v>
      </c>
    </row>
    <row r="3" spans="1:20" ht="15.6" x14ac:dyDescent="0.3">
      <c r="A3" s="8">
        <f>A2+1</f>
        <v>2</v>
      </c>
      <c r="B3" s="9" t="s">
        <v>21</v>
      </c>
      <c r="C3" s="10">
        <v>0.45833333333333331</v>
      </c>
      <c r="D3" s="10">
        <v>0.83333333333333337</v>
      </c>
      <c r="E3" s="11">
        <v>9</v>
      </c>
      <c r="F3" s="12">
        <v>1</v>
      </c>
      <c r="G3" s="12">
        <v>0</v>
      </c>
      <c r="H3" s="12">
        <v>8</v>
      </c>
      <c r="I3" s="12">
        <v>0</v>
      </c>
      <c r="J3" s="10"/>
      <c r="K3" s="13">
        <v>0.5</v>
      </c>
      <c r="L3" s="14">
        <v>0.54166666666666663</v>
      </c>
      <c r="O3" s="15" t="s">
        <v>22</v>
      </c>
      <c r="P3" s="17" t="s">
        <v>23</v>
      </c>
      <c r="Q3" s="18"/>
      <c r="T3" s="15" t="s">
        <v>24</v>
      </c>
    </row>
    <row r="4" spans="1:20" ht="15.6" x14ac:dyDescent="0.3">
      <c r="A4" s="8">
        <f t="shared" ref="A4:A60" si="0">A3+1</f>
        <v>3</v>
      </c>
      <c r="B4" s="19" t="s">
        <v>25</v>
      </c>
      <c r="C4" s="20">
        <v>0.39583333333333331</v>
      </c>
      <c r="D4" s="20">
        <v>0.77083333333333337</v>
      </c>
      <c r="E4" s="21">
        <v>9</v>
      </c>
      <c r="F4" s="22">
        <v>1</v>
      </c>
      <c r="G4" s="22">
        <v>0</v>
      </c>
      <c r="H4" s="12">
        <v>8</v>
      </c>
      <c r="I4" s="12">
        <v>0</v>
      </c>
      <c r="J4" s="20"/>
      <c r="K4" s="23">
        <v>0.5</v>
      </c>
      <c r="L4" s="24">
        <v>0.54166666666666663</v>
      </c>
      <c r="O4" s="15" t="s">
        <v>26</v>
      </c>
      <c r="P4" s="17" t="s">
        <v>27</v>
      </c>
      <c r="Q4" s="18"/>
    </row>
    <row r="5" spans="1:20" ht="15.6" x14ac:dyDescent="0.3">
      <c r="A5" s="8">
        <f t="shared" si="0"/>
        <v>4</v>
      </c>
      <c r="B5" s="19" t="s">
        <v>28</v>
      </c>
      <c r="C5" s="20">
        <v>0.33333333333333331</v>
      </c>
      <c r="D5" s="20">
        <v>0.70833333333333337</v>
      </c>
      <c r="E5" s="21">
        <v>9</v>
      </c>
      <c r="F5" s="22">
        <v>1</v>
      </c>
      <c r="G5" s="22">
        <v>0</v>
      </c>
      <c r="H5" s="12">
        <v>8</v>
      </c>
      <c r="I5" s="12">
        <v>0</v>
      </c>
      <c r="J5" s="20"/>
      <c r="K5" s="23">
        <v>0.5</v>
      </c>
      <c r="L5" s="24">
        <v>0.54166666666666663</v>
      </c>
      <c r="O5" s="15" t="s">
        <v>29</v>
      </c>
      <c r="P5" s="17" t="s">
        <v>27</v>
      </c>
      <c r="Q5" s="18"/>
    </row>
    <row r="6" spans="1:20" ht="15.6" x14ac:dyDescent="0.3">
      <c r="A6" s="8">
        <f t="shared" si="0"/>
        <v>5</v>
      </c>
      <c r="B6" s="9" t="s">
        <v>30</v>
      </c>
      <c r="C6" s="10">
        <v>0.5</v>
      </c>
      <c r="D6" s="10">
        <v>0.875</v>
      </c>
      <c r="E6" s="11">
        <v>9</v>
      </c>
      <c r="F6" s="12">
        <v>1</v>
      </c>
      <c r="G6" s="12">
        <v>0</v>
      </c>
      <c r="H6" s="12">
        <v>8</v>
      </c>
      <c r="I6" s="12">
        <v>0</v>
      </c>
      <c r="J6" s="10"/>
      <c r="K6" s="13">
        <v>0.5</v>
      </c>
      <c r="L6" s="14">
        <v>0.54166666666666663</v>
      </c>
      <c r="O6" s="25" t="s">
        <v>31</v>
      </c>
      <c r="P6" s="26" t="s">
        <v>32</v>
      </c>
      <c r="Q6" s="27"/>
    </row>
    <row r="7" spans="1:20" ht="15.6" x14ac:dyDescent="0.3">
      <c r="A7" s="8">
        <f t="shared" si="0"/>
        <v>6</v>
      </c>
      <c r="B7" s="19" t="s">
        <v>33</v>
      </c>
      <c r="C7" s="20">
        <v>0.5</v>
      </c>
      <c r="D7" s="20">
        <v>0.66666666666666663</v>
      </c>
      <c r="E7" s="21">
        <v>4</v>
      </c>
      <c r="F7" s="22">
        <v>0.5</v>
      </c>
      <c r="G7" s="22">
        <v>0.5</v>
      </c>
      <c r="H7" s="22">
        <v>4</v>
      </c>
      <c r="I7" s="22">
        <v>4</v>
      </c>
      <c r="J7" s="20"/>
      <c r="K7" s="23" t="s">
        <v>34</v>
      </c>
      <c r="L7" s="28" t="s">
        <v>34</v>
      </c>
      <c r="O7" s="29" t="s">
        <v>35</v>
      </c>
    </row>
    <row r="8" spans="1:20" ht="15.6" x14ac:dyDescent="0.3">
      <c r="A8" s="8">
        <f t="shared" si="0"/>
        <v>7</v>
      </c>
      <c r="B8" s="19" t="s">
        <v>36</v>
      </c>
      <c r="C8" s="20">
        <v>0.5</v>
      </c>
      <c r="D8" s="20">
        <v>0.66666666666666663</v>
      </c>
      <c r="E8" s="21">
        <v>4</v>
      </c>
      <c r="F8" s="22">
        <v>0.5</v>
      </c>
      <c r="G8" s="22">
        <v>0</v>
      </c>
      <c r="H8" s="22">
        <v>4</v>
      </c>
      <c r="I8" s="12">
        <v>0</v>
      </c>
      <c r="J8" s="20"/>
      <c r="K8" s="23" t="s">
        <v>34</v>
      </c>
      <c r="L8" s="28" t="s">
        <v>34</v>
      </c>
      <c r="O8" s="25" t="s">
        <v>37</v>
      </c>
    </row>
    <row r="9" spans="1:20" ht="15.6" x14ac:dyDescent="0.3">
      <c r="A9" s="8">
        <f t="shared" si="0"/>
        <v>8</v>
      </c>
      <c r="B9" s="19" t="s">
        <v>38</v>
      </c>
      <c r="C9" s="20">
        <v>0.375</v>
      </c>
      <c r="D9" s="20">
        <v>0.75</v>
      </c>
      <c r="E9" s="21">
        <v>9</v>
      </c>
      <c r="F9" s="22">
        <v>1</v>
      </c>
      <c r="G9" s="22">
        <v>0</v>
      </c>
      <c r="H9" s="12">
        <v>8</v>
      </c>
      <c r="I9" s="12">
        <v>0</v>
      </c>
      <c r="J9" s="20"/>
      <c r="K9" s="23">
        <v>0.5</v>
      </c>
      <c r="L9" s="24">
        <v>0.54166666666666663</v>
      </c>
      <c r="O9" s="30"/>
    </row>
    <row r="10" spans="1:20" ht="15.6" x14ac:dyDescent="0.3">
      <c r="A10" s="8">
        <f t="shared" si="0"/>
        <v>9</v>
      </c>
      <c r="B10" s="19" t="s">
        <v>39</v>
      </c>
      <c r="C10" s="20">
        <v>0.3125</v>
      </c>
      <c r="D10" s="20">
        <v>0.6875</v>
      </c>
      <c r="E10" s="21">
        <v>9</v>
      </c>
      <c r="F10" s="22">
        <v>1</v>
      </c>
      <c r="G10" s="22">
        <v>0</v>
      </c>
      <c r="H10" s="12">
        <v>8</v>
      </c>
      <c r="I10" s="12">
        <v>0</v>
      </c>
      <c r="J10" s="20"/>
      <c r="K10" s="23">
        <v>0.5</v>
      </c>
      <c r="L10" s="24">
        <v>0.54166666666666663</v>
      </c>
    </row>
    <row r="11" spans="1:20" ht="15.6" x14ac:dyDescent="0.3">
      <c r="A11" s="8">
        <f t="shared" si="0"/>
        <v>10</v>
      </c>
      <c r="B11" s="19" t="s">
        <v>40</v>
      </c>
      <c r="C11" s="20">
        <v>0.3125</v>
      </c>
      <c r="D11" s="20">
        <v>0.47916666666666669</v>
      </c>
      <c r="E11" s="21">
        <v>4</v>
      </c>
      <c r="F11" s="22">
        <v>0.5</v>
      </c>
      <c r="G11" s="22">
        <v>0.5</v>
      </c>
      <c r="H11" s="22">
        <v>4</v>
      </c>
      <c r="I11" s="22">
        <v>4</v>
      </c>
      <c r="J11" s="20"/>
      <c r="K11" s="23" t="s">
        <v>34</v>
      </c>
      <c r="L11" s="28" t="s">
        <v>34</v>
      </c>
      <c r="O11" s="31" t="s">
        <v>12</v>
      </c>
      <c r="P11" s="6" t="s">
        <v>20</v>
      </c>
      <c r="Q11" t="s">
        <v>41</v>
      </c>
    </row>
    <row r="12" spans="1:20" ht="15.6" x14ac:dyDescent="0.3">
      <c r="A12" s="8">
        <f t="shared" si="0"/>
        <v>11</v>
      </c>
      <c r="B12" s="19" t="s">
        <v>42</v>
      </c>
      <c r="C12" s="20">
        <v>0.3125</v>
      </c>
      <c r="D12" s="20">
        <v>0.47916666666666669</v>
      </c>
      <c r="E12" s="21">
        <v>4</v>
      </c>
      <c r="F12" s="22">
        <v>0.5</v>
      </c>
      <c r="G12" s="22">
        <v>0</v>
      </c>
      <c r="H12" s="22">
        <v>4</v>
      </c>
      <c r="I12" s="12">
        <v>0</v>
      </c>
      <c r="J12" s="20"/>
      <c r="K12" s="23" t="s">
        <v>34</v>
      </c>
      <c r="L12" s="28" t="s">
        <v>34</v>
      </c>
      <c r="O12" s="32" t="s">
        <v>29</v>
      </c>
      <c r="P12" s="15" t="s">
        <v>20</v>
      </c>
      <c r="Q12" s="33" t="s">
        <v>43</v>
      </c>
    </row>
    <row r="13" spans="1:20" ht="15.6" x14ac:dyDescent="0.3">
      <c r="A13" s="8">
        <f t="shared" si="0"/>
        <v>12</v>
      </c>
      <c r="B13" s="19" t="s">
        <v>44</v>
      </c>
      <c r="C13" s="20">
        <v>0.41666666666666669</v>
      </c>
      <c r="D13" s="20">
        <v>0.79166666666666663</v>
      </c>
      <c r="E13" s="21">
        <v>9</v>
      </c>
      <c r="F13" s="22">
        <v>1</v>
      </c>
      <c r="G13" s="22">
        <v>0</v>
      </c>
      <c r="H13" s="12">
        <v>8</v>
      </c>
      <c r="I13" s="12">
        <v>0</v>
      </c>
      <c r="J13" s="20"/>
      <c r="K13" s="23">
        <v>0.5</v>
      </c>
      <c r="L13" s="24">
        <v>0.54166666666666663</v>
      </c>
      <c r="O13" s="32" t="s">
        <v>29</v>
      </c>
      <c r="P13" s="15" t="s">
        <v>24</v>
      </c>
      <c r="Q13" s="34" t="s">
        <v>45</v>
      </c>
    </row>
    <row r="14" spans="1:20" ht="15.6" x14ac:dyDescent="0.3">
      <c r="A14" s="8">
        <f t="shared" si="0"/>
        <v>13</v>
      </c>
      <c r="B14" s="19" t="s">
        <v>46</v>
      </c>
      <c r="C14" s="20">
        <v>0.35416666666666669</v>
      </c>
      <c r="D14" s="20">
        <v>0.72916666666666663</v>
      </c>
      <c r="E14" s="21">
        <v>9</v>
      </c>
      <c r="F14" s="22">
        <v>1</v>
      </c>
      <c r="G14" s="22">
        <v>0</v>
      </c>
      <c r="H14" s="12">
        <v>8</v>
      </c>
      <c r="I14" s="12">
        <v>0</v>
      </c>
      <c r="J14" s="20"/>
      <c r="K14" s="23">
        <v>0.5</v>
      </c>
      <c r="L14" s="24">
        <v>0.54166666666666663</v>
      </c>
      <c r="O14" s="32" t="s">
        <v>17</v>
      </c>
      <c r="P14" s="15" t="s">
        <v>20</v>
      </c>
      <c r="Q14" s="34" t="s">
        <v>47</v>
      </c>
    </row>
    <row r="15" spans="1:20" ht="15.6" x14ac:dyDescent="0.3">
      <c r="A15" s="8">
        <f t="shared" si="0"/>
        <v>14</v>
      </c>
      <c r="B15" s="19" t="s">
        <v>48</v>
      </c>
      <c r="C15" s="20">
        <v>0.29166666666666669</v>
      </c>
      <c r="D15" s="20">
        <v>0.66666666666666663</v>
      </c>
      <c r="E15" s="21">
        <v>9</v>
      </c>
      <c r="F15" s="22">
        <v>1</v>
      </c>
      <c r="G15" s="22">
        <v>0</v>
      </c>
      <c r="H15" s="12">
        <v>8</v>
      </c>
      <c r="I15" s="12">
        <v>0</v>
      </c>
      <c r="J15" s="20"/>
      <c r="K15" s="23">
        <v>0.5</v>
      </c>
      <c r="L15" s="24">
        <v>0.54166666666666663</v>
      </c>
      <c r="O15" s="32" t="s">
        <v>17</v>
      </c>
      <c r="P15" s="15" t="s">
        <v>24</v>
      </c>
      <c r="Q15" s="34" t="s">
        <v>49</v>
      </c>
    </row>
    <row r="16" spans="1:20" ht="15.6" x14ac:dyDescent="0.3">
      <c r="A16" s="8">
        <f t="shared" si="0"/>
        <v>15</v>
      </c>
      <c r="B16" s="35" t="s">
        <v>50</v>
      </c>
      <c r="C16" s="36">
        <v>0.29166666666666669</v>
      </c>
      <c r="D16" s="36">
        <v>0.45833333333333331</v>
      </c>
      <c r="E16" s="21">
        <v>4</v>
      </c>
      <c r="F16" s="22">
        <v>0.5</v>
      </c>
      <c r="G16" s="22">
        <v>0.5</v>
      </c>
      <c r="H16" s="22">
        <v>4</v>
      </c>
      <c r="I16" s="22">
        <v>4</v>
      </c>
      <c r="J16" s="20" t="s">
        <v>51</v>
      </c>
      <c r="K16" s="37" t="s">
        <v>34</v>
      </c>
      <c r="L16" s="38" t="s">
        <v>34</v>
      </c>
      <c r="O16" s="39" t="s">
        <v>31</v>
      </c>
      <c r="P16" s="15" t="s">
        <v>20</v>
      </c>
      <c r="Q16" s="40" t="s">
        <v>52</v>
      </c>
    </row>
    <row r="17" spans="1:17" ht="15.6" x14ac:dyDescent="0.3">
      <c r="A17" s="8">
        <f t="shared" si="0"/>
        <v>16</v>
      </c>
      <c r="B17" s="35" t="s">
        <v>53</v>
      </c>
      <c r="C17" s="36">
        <v>0.29166666666666669</v>
      </c>
      <c r="D17" s="36">
        <v>0.45833333333333331</v>
      </c>
      <c r="E17" s="21">
        <v>4</v>
      </c>
      <c r="F17" s="22">
        <v>0.5</v>
      </c>
      <c r="G17" s="22">
        <v>0</v>
      </c>
      <c r="H17" s="22">
        <v>4</v>
      </c>
      <c r="I17" s="12">
        <v>0</v>
      </c>
      <c r="J17" s="20" t="s">
        <v>54</v>
      </c>
      <c r="K17" s="37" t="s">
        <v>34</v>
      </c>
      <c r="L17" s="38" t="s">
        <v>34</v>
      </c>
      <c r="O17" s="39" t="s">
        <v>31</v>
      </c>
      <c r="P17" s="15" t="s">
        <v>24</v>
      </c>
      <c r="Q17" s="34" t="s">
        <v>45</v>
      </c>
    </row>
    <row r="18" spans="1:17" ht="15.6" x14ac:dyDescent="0.3">
      <c r="A18" s="8">
        <f t="shared" si="0"/>
        <v>17</v>
      </c>
      <c r="B18" s="35" t="s">
        <v>55</v>
      </c>
      <c r="C18" s="36">
        <v>0.35416666666666669</v>
      </c>
      <c r="D18" s="36">
        <v>0.72916666666666663</v>
      </c>
      <c r="E18" s="21">
        <v>9</v>
      </c>
      <c r="F18" s="22">
        <v>1</v>
      </c>
      <c r="G18" s="22">
        <v>0</v>
      </c>
      <c r="H18" s="12">
        <v>8</v>
      </c>
      <c r="I18" s="12">
        <v>0</v>
      </c>
      <c r="J18" s="20" t="s">
        <v>56</v>
      </c>
      <c r="K18" s="23">
        <v>0.5</v>
      </c>
      <c r="L18" s="24">
        <v>0.54166666666666663</v>
      </c>
      <c r="O18" s="39" t="s">
        <v>37</v>
      </c>
      <c r="P18" s="15" t="s">
        <v>20</v>
      </c>
      <c r="Q18" s="40" t="s">
        <v>52</v>
      </c>
    </row>
    <row r="19" spans="1:17" ht="15.6" x14ac:dyDescent="0.3">
      <c r="A19" s="8">
        <f t="shared" si="0"/>
        <v>18</v>
      </c>
      <c r="B19" s="35" t="s">
        <v>57</v>
      </c>
      <c r="C19" s="36">
        <v>0.375</v>
      </c>
      <c r="D19" s="36">
        <v>0.70833333333333337</v>
      </c>
      <c r="E19" s="21">
        <v>8</v>
      </c>
      <c r="F19" s="22">
        <v>1</v>
      </c>
      <c r="G19" s="22">
        <v>0</v>
      </c>
      <c r="H19" s="22">
        <v>7</v>
      </c>
      <c r="I19" s="12">
        <v>0</v>
      </c>
      <c r="J19" s="20" t="s">
        <v>58</v>
      </c>
      <c r="K19" s="23">
        <v>0.5</v>
      </c>
      <c r="L19" s="24">
        <v>0.54166666666666663</v>
      </c>
      <c r="O19" s="39" t="s">
        <v>37</v>
      </c>
      <c r="P19" s="15" t="s">
        <v>24</v>
      </c>
      <c r="Q19" s="34" t="s">
        <v>45</v>
      </c>
    </row>
    <row r="20" spans="1:17" ht="15.6" x14ac:dyDescent="0.3">
      <c r="A20" s="8">
        <f t="shared" si="0"/>
        <v>19</v>
      </c>
      <c r="B20" s="35" t="s">
        <v>59</v>
      </c>
      <c r="C20" s="36">
        <v>0.375</v>
      </c>
      <c r="D20" s="36">
        <v>0.66666666666666663</v>
      </c>
      <c r="E20" s="21">
        <v>7</v>
      </c>
      <c r="F20" s="22">
        <v>1</v>
      </c>
      <c r="G20" s="22">
        <v>0</v>
      </c>
      <c r="H20" s="22">
        <v>6</v>
      </c>
      <c r="I20" s="12">
        <v>0</v>
      </c>
      <c r="J20" s="20" t="s">
        <v>60</v>
      </c>
      <c r="K20" s="23">
        <v>0.5</v>
      </c>
      <c r="L20" s="24">
        <v>0.54166666666666663</v>
      </c>
      <c r="O20" s="32" t="s">
        <v>22</v>
      </c>
      <c r="P20" s="15" t="s">
        <v>20</v>
      </c>
      <c r="Q20" s="34" t="s">
        <v>43</v>
      </c>
    </row>
    <row r="21" spans="1:17" ht="15.6" x14ac:dyDescent="0.3">
      <c r="A21" s="8">
        <f t="shared" si="0"/>
        <v>20</v>
      </c>
      <c r="B21" s="35" t="s">
        <v>61</v>
      </c>
      <c r="C21" s="36">
        <v>0.375</v>
      </c>
      <c r="D21" s="36">
        <v>0.625</v>
      </c>
      <c r="E21" s="21">
        <v>6</v>
      </c>
      <c r="F21" s="22">
        <v>1</v>
      </c>
      <c r="G21" s="22">
        <v>0</v>
      </c>
      <c r="H21" s="22">
        <v>5</v>
      </c>
      <c r="I21" s="12">
        <v>0</v>
      </c>
      <c r="J21" s="20" t="s">
        <v>60</v>
      </c>
      <c r="K21" s="41">
        <v>0.5</v>
      </c>
      <c r="L21" s="42">
        <v>0.54166666666666663</v>
      </c>
      <c r="O21" s="32" t="s">
        <v>22</v>
      </c>
      <c r="P21" s="15" t="s">
        <v>24</v>
      </c>
      <c r="Q21" s="34" t="s">
        <v>45</v>
      </c>
    </row>
    <row r="22" spans="1:17" ht="15.6" x14ac:dyDescent="0.3">
      <c r="A22" s="8">
        <f t="shared" si="0"/>
        <v>21</v>
      </c>
      <c r="B22" s="35" t="s">
        <v>62</v>
      </c>
      <c r="C22" s="36">
        <v>0.54166666666666663</v>
      </c>
      <c r="D22" s="36">
        <v>0.70833333333333337</v>
      </c>
      <c r="E22" s="21">
        <v>4</v>
      </c>
      <c r="F22" s="22">
        <v>0.5</v>
      </c>
      <c r="G22" s="22">
        <v>0.5</v>
      </c>
      <c r="H22" s="22">
        <v>4</v>
      </c>
      <c r="I22" s="22">
        <v>4</v>
      </c>
      <c r="J22" s="20" t="s">
        <v>51</v>
      </c>
      <c r="K22" s="37" t="s">
        <v>34</v>
      </c>
      <c r="L22" s="38" t="s">
        <v>34</v>
      </c>
      <c r="O22" s="32" t="s">
        <v>26</v>
      </c>
      <c r="P22" s="15" t="s">
        <v>20</v>
      </c>
      <c r="Q22" t="s">
        <v>43</v>
      </c>
    </row>
    <row r="23" spans="1:17" ht="15.6" x14ac:dyDescent="0.3">
      <c r="A23" s="8">
        <f t="shared" si="0"/>
        <v>22</v>
      </c>
      <c r="B23" s="35" t="s">
        <v>63</v>
      </c>
      <c r="C23" s="36">
        <v>0.54166666666666663</v>
      </c>
      <c r="D23" s="36">
        <v>0.70833333333333337</v>
      </c>
      <c r="E23" s="21">
        <v>4</v>
      </c>
      <c r="F23" s="22">
        <v>0.5</v>
      </c>
      <c r="G23" s="22">
        <v>0</v>
      </c>
      <c r="H23" s="22">
        <v>4</v>
      </c>
      <c r="I23" s="12">
        <v>0</v>
      </c>
      <c r="J23" s="20" t="s">
        <v>54</v>
      </c>
      <c r="K23" s="37" t="s">
        <v>34</v>
      </c>
      <c r="L23" s="38" t="s">
        <v>34</v>
      </c>
      <c r="O23" s="32" t="s">
        <v>26</v>
      </c>
      <c r="P23" s="15" t="s">
        <v>24</v>
      </c>
      <c r="Q23" t="s">
        <v>49</v>
      </c>
    </row>
    <row r="24" spans="1:17" ht="15.6" x14ac:dyDescent="0.3">
      <c r="A24" s="8">
        <f t="shared" si="0"/>
        <v>23</v>
      </c>
      <c r="B24" s="35" t="s">
        <v>64</v>
      </c>
      <c r="C24" s="36">
        <v>0.33333333333333331</v>
      </c>
      <c r="D24" s="36">
        <v>0.5</v>
      </c>
      <c r="E24" s="21">
        <v>4</v>
      </c>
      <c r="F24" s="22">
        <v>0.5</v>
      </c>
      <c r="G24" s="22">
        <v>0.5</v>
      </c>
      <c r="H24" s="22">
        <v>4</v>
      </c>
      <c r="I24" s="22">
        <v>4</v>
      </c>
      <c r="J24" s="20" t="s">
        <v>51</v>
      </c>
      <c r="K24" s="37" t="s">
        <v>34</v>
      </c>
      <c r="L24" s="38" t="s">
        <v>34</v>
      </c>
      <c r="O24" s="43" t="s">
        <v>35</v>
      </c>
      <c r="P24" s="15" t="s">
        <v>20</v>
      </c>
      <c r="Q24" s="44" t="s">
        <v>65</v>
      </c>
    </row>
    <row r="25" spans="1:17" ht="15.6" x14ac:dyDescent="0.3">
      <c r="A25" s="8">
        <f t="shared" si="0"/>
        <v>24</v>
      </c>
      <c r="B25" s="35" t="s">
        <v>66</v>
      </c>
      <c r="C25" s="36">
        <v>0.33333333333333331</v>
      </c>
      <c r="D25" s="36">
        <v>0.5</v>
      </c>
      <c r="E25" s="21">
        <v>4</v>
      </c>
      <c r="F25" s="22">
        <v>0.5</v>
      </c>
      <c r="G25" s="22">
        <v>0</v>
      </c>
      <c r="H25" s="22">
        <v>4</v>
      </c>
      <c r="I25" s="12">
        <v>0</v>
      </c>
      <c r="J25" s="20" t="s">
        <v>54</v>
      </c>
      <c r="K25" s="37" t="s">
        <v>34</v>
      </c>
      <c r="L25" s="38" t="s">
        <v>34</v>
      </c>
      <c r="O25" s="43" t="s">
        <v>35</v>
      </c>
      <c r="P25" s="15" t="s">
        <v>24</v>
      </c>
      <c r="Q25" s="44" t="s">
        <v>65</v>
      </c>
    </row>
    <row r="26" spans="1:17" ht="15.6" x14ac:dyDescent="0.3">
      <c r="A26" s="8">
        <f t="shared" si="0"/>
        <v>25</v>
      </c>
      <c r="B26" s="35" t="s">
        <v>67</v>
      </c>
      <c r="C26" s="36">
        <v>0.70833333333333337</v>
      </c>
      <c r="D26" s="36">
        <v>0.875</v>
      </c>
      <c r="E26" s="21">
        <v>4</v>
      </c>
      <c r="F26" s="22">
        <v>0.5</v>
      </c>
      <c r="G26" s="22">
        <v>0.5</v>
      </c>
      <c r="H26" s="22">
        <v>4</v>
      </c>
      <c r="I26" s="22">
        <v>4</v>
      </c>
      <c r="J26" s="20" t="s">
        <v>51</v>
      </c>
      <c r="K26" s="37" t="s">
        <v>34</v>
      </c>
      <c r="L26" s="38" t="s">
        <v>34</v>
      </c>
      <c r="O26" s="43"/>
      <c r="P26" s="43"/>
      <c r="Q26" t="s">
        <v>43</v>
      </c>
    </row>
    <row r="27" spans="1:17" ht="15.6" x14ac:dyDescent="0.3">
      <c r="A27" s="8">
        <f t="shared" si="0"/>
        <v>26</v>
      </c>
      <c r="B27" s="35" t="s">
        <v>68</v>
      </c>
      <c r="C27" s="36">
        <v>0.70833333333333337</v>
      </c>
      <c r="D27" s="36">
        <v>0.875</v>
      </c>
      <c r="E27" s="21">
        <v>4</v>
      </c>
      <c r="F27" s="22">
        <v>0.5</v>
      </c>
      <c r="G27" s="22">
        <v>0</v>
      </c>
      <c r="H27" s="22">
        <v>4</v>
      </c>
      <c r="I27" s="12">
        <v>0</v>
      </c>
      <c r="J27" s="20" t="s">
        <v>54</v>
      </c>
      <c r="K27" s="37" t="s">
        <v>34</v>
      </c>
      <c r="L27" s="38" t="s">
        <v>34</v>
      </c>
    </row>
    <row r="28" spans="1:17" ht="15.6" x14ac:dyDescent="0.3">
      <c r="A28" s="8">
        <f t="shared" si="0"/>
        <v>27</v>
      </c>
      <c r="B28" s="35" t="s">
        <v>69</v>
      </c>
      <c r="C28" s="36">
        <v>0.625</v>
      </c>
      <c r="D28" s="36">
        <v>0.79166666666666663</v>
      </c>
      <c r="E28" s="21">
        <v>4</v>
      </c>
      <c r="F28" s="22">
        <v>0.5</v>
      </c>
      <c r="G28" s="22">
        <v>0.5</v>
      </c>
      <c r="H28" s="22">
        <v>4</v>
      </c>
      <c r="I28" s="22">
        <v>4</v>
      </c>
      <c r="J28" s="20" t="s">
        <v>51</v>
      </c>
      <c r="K28" s="37" t="s">
        <v>34</v>
      </c>
      <c r="L28" s="38" t="s">
        <v>34</v>
      </c>
    </row>
    <row r="29" spans="1:17" ht="15.6" x14ac:dyDescent="0.3">
      <c r="A29" s="8">
        <f t="shared" si="0"/>
        <v>28</v>
      </c>
      <c r="B29" s="35" t="s">
        <v>70</v>
      </c>
      <c r="C29" s="36">
        <v>0.625</v>
      </c>
      <c r="D29" s="36">
        <v>0.79166666666666663</v>
      </c>
      <c r="E29" s="21">
        <v>4</v>
      </c>
      <c r="F29" s="22">
        <v>0.5</v>
      </c>
      <c r="G29" s="22">
        <v>0</v>
      </c>
      <c r="H29" s="22">
        <v>4</v>
      </c>
      <c r="I29" s="12">
        <v>0</v>
      </c>
      <c r="J29" s="20" t="s">
        <v>54</v>
      </c>
      <c r="K29" s="37" t="s">
        <v>34</v>
      </c>
      <c r="L29" s="38" t="s">
        <v>34</v>
      </c>
    </row>
    <row r="30" spans="1:17" ht="15.6" x14ac:dyDescent="0.3">
      <c r="A30" s="8">
        <f t="shared" si="0"/>
        <v>29</v>
      </c>
      <c r="B30" s="45" t="s">
        <v>71</v>
      </c>
      <c r="C30" s="46">
        <v>0.5625</v>
      </c>
      <c r="D30" s="46">
        <v>0.70833333333333337</v>
      </c>
      <c r="E30" s="11">
        <v>3.5</v>
      </c>
      <c r="F30" s="12">
        <v>1</v>
      </c>
      <c r="G30" s="12">
        <v>0</v>
      </c>
      <c r="H30" s="12">
        <v>3.5</v>
      </c>
      <c r="I30" s="12">
        <v>0</v>
      </c>
      <c r="J30" s="10" t="s">
        <v>60</v>
      </c>
      <c r="K30" s="47" t="s">
        <v>34</v>
      </c>
      <c r="L30" s="48" t="s">
        <v>34</v>
      </c>
    </row>
    <row r="31" spans="1:17" ht="15.6" x14ac:dyDescent="0.3">
      <c r="A31" s="8">
        <f t="shared" si="0"/>
        <v>30</v>
      </c>
      <c r="B31" s="35" t="s">
        <v>72</v>
      </c>
      <c r="C31" s="36">
        <v>0.375</v>
      </c>
      <c r="D31" s="36">
        <v>0.58333333333333337</v>
      </c>
      <c r="E31" s="21">
        <v>5</v>
      </c>
      <c r="F31" s="22">
        <v>0.5</v>
      </c>
      <c r="G31" s="22">
        <v>0.5</v>
      </c>
      <c r="H31" s="22">
        <v>4</v>
      </c>
      <c r="I31" s="22">
        <v>4</v>
      </c>
      <c r="J31" s="20" t="s">
        <v>51</v>
      </c>
      <c r="K31" s="41">
        <v>0.5</v>
      </c>
      <c r="L31" s="42">
        <v>0.54166666666666663</v>
      </c>
    </row>
    <row r="32" spans="1:17" ht="15.6" x14ac:dyDescent="0.3">
      <c r="A32" s="8">
        <f t="shared" si="0"/>
        <v>31</v>
      </c>
      <c r="B32" s="35" t="s">
        <v>73</v>
      </c>
      <c r="C32" s="36">
        <v>0.375</v>
      </c>
      <c r="D32" s="36">
        <v>0.58333333333333337</v>
      </c>
      <c r="E32" s="21">
        <v>5</v>
      </c>
      <c r="F32" s="22">
        <v>0.5</v>
      </c>
      <c r="G32" s="22">
        <v>0</v>
      </c>
      <c r="H32" s="22">
        <v>4</v>
      </c>
      <c r="I32" s="12">
        <v>0</v>
      </c>
      <c r="J32" s="20" t="s">
        <v>54</v>
      </c>
      <c r="K32" s="41">
        <v>0.5</v>
      </c>
      <c r="L32" s="42">
        <v>0.54166666666666663</v>
      </c>
    </row>
    <row r="33" spans="1:12" ht="15.6" x14ac:dyDescent="0.3">
      <c r="A33" s="8">
        <f t="shared" si="0"/>
        <v>32</v>
      </c>
      <c r="B33" s="45" t="s">
        <v>74</v>
      </c>
      <c r="C33" s="46">
        <v>0.375</v>
      </c>
      <c r="D33" s="46">
        <v>0.72916666666666663</v>
      </c>
      <c r="E33" s="11">
        <v>8.5</v>
      </c>
      <c r="F33" s="12">
        <v>1</v>
      </c>
      <c r="G33" s="12">
        <v>0</v>
      </c>
      <c r="H33" s="12">
        <v>7.5</v>
      </c>
      <c r="I33" s="12">
        <v>0</v>
      </c>
      <c r="J33" s="10" t="s">
        <v>75</v>
      </c>
      <c r="K33" s="13">
        <v>0.5</v>
      </c>
      <c r="L33" s="14">
        <v>0.54166666666666663</v>
      </c>
    </row>
    <row r="34" spans="1:12" ht="15.6" x14ac:dyDescent="0.3">
      <c r="A34" s="8">
        <f t="shared" si="0"/>
        <v>33</v>
      </c>
      <c r="B34" s="35" t="s">
        <v>76</v>
      </c>
      <c r="C34" s="36">
        <v>0.66666666666666663</v>
      </c>
      <c r="D34" s="36">
        <v>0.83333333333333337</v>
      </c>
      <c r="E34" s="21">
        <v>4</v>
      </c>
      <c r="F34" s="22">
        <v>0.5</v>
      </c>
      <c r="G34" s="22">
        <v>0.5</v>
      </c>
      <c r="H34" s="22">
        <v>4</v>
      </c>
      <c r="I34" s="22">
        <v>4</v>
      </c>
      <c r="J34" s="20" t="s">
        <v>51</v>
      </c>
      <c r="K34" s="37" t="s">
        <v>34</v>
      </c>
      <c r="L34" s="38" t="s">
        <v>34</v>
      </c>
    </row>
    <row r="35" spans="1:12" ht="15.6" x14ac:dyDescent="0.3">
      <c r="A35" s="8">
        <f t="shared" si="0"/>
        <v>34</v>
      </c>
      <c r="B35" s="35" t="s">
        <v>77</v>
      </c>
      <c r="C35" s="36">
        <v>0.66666666666666663</v>
      </c>
      <c r="D35" s="36">
        <v>0.83333333333333337</v>
      </c>
      <c r="E35" s="21">
        <v>4</v>
      </c>
      <c r="F35" s="22">
        <v>0.5</v>
      </c>
      <c r="G35" s="22">
        <v>0</v>
      </c>
      <c r="H35" s="22">
        <v>4</v>
      </c>
      <c r="I35" s="12">
        <v>0</v>
      </c>
      <c r="J35" s="20" t="s">
        <v>54</v>
      </c>
      <c r="K35" s="37" t="s">
        <v>34</v>
      </c>
      <c r="L35" s="38" t="s">
        <v>34</v>
      </c>
    </row>
    <row r="36" spans="1:12" ht="15.6" x14ac:dyDescent="0.3">
      <c r="A36" s="8">
        <f t="shared" si="0"/>
        <v>35</v>
      </c>
      <c r="B36" s="35" t="s">
        <v>78</v>
      </c>
      <c r="C36" s="36">
        <v>0.41666666666666669</v>
      </c>
      <c r="D36" s="36">
        <v>0.625</v>
      </c>
      <c r="E36" s="21">
        <v>5</v>
      </c>
      <c r="F36" s="22">
        <v>0.5</v>
      </c>
      <c r="G36" s="22">
        <v>0.5</v>
      </c>
      <c r="H36" s="22">
        <v>4</v>
      </c>
      <c r="I36" s="22">
        <v>4</v>
      </c>
      <c r="J36" s="20" t="s">
        <v>51</v>
      </c>
      <c r="K36" s="41">
        <v>0.5</v>
      </c>
      <c r="L36" s="42">
        <v>0.54166666666666663</v>
      </c>
    </row>
    <row r="37" spans="1:12" ht="15.6" x14ac:dyDescent="0.3">
      <c r="A37" s="8">
        <f t="shared" si="0"/>
        <v>36</v>
      </c>
      <c r="B37" s="35" t="s">
        <v>79</v>
      </c>
      <c r="C37" s="36">
        <v>0.41666666666666669</v>
      </c>
      <c r="D37" s="36">
        <v>0.625</v>
      </c>
      <c r="E37" s="21">
        <v>5</v>
      </c>
      <c r="F37" s="22">
        <v>0.5</v>
      </c>
      <c r="G37" s="22">
        <v>0</v>
      </c>
      <c r="H37" s="22">
        <v>4</v>
      </c>
      <c r="I37" s="12">
        <v>0</v>
      </c>
      <c r="J37" s="20" t="s">
        <v>54</v>
      </c>
      <c r="K37" s="41">
        <v>0.5</v>
      </c>
      <c r="L37" s="42">
        <v>0.54166666666666663</v>
      </c>
    </row>
    <row r="38" spans="1:12" ht="15.6" x14ac:dyDescent="0.3">
      <c r="A38" s="8">
        <f t="shared" si="0"/>
        <v>37</v>
      </c>
      <c r="B38" s="35" t="s">
        <v>80</v>
      </c>
      <c r="C38" s="36">
        <v>0</v>
      </c>
      <c r="D38" s="36">
        <v>0</v>
      </c>
      <c r="E38" s="21">
        <v>0</v>
      </c>
      <c r="F38" s="22">
        <v>1</v>
      </c>
      <c r="G38" s="22">
        <v>0</v>
      </c>
      <c r="H38" s="22">
        <v>8</v>
      </c>
      <c r="I38" s="12">
        <v>0</v>
      </c>
      <c r="J38" s="20" t="s">
        <v>81</v>
      </c>
      <c r="K38" s="37" t="s">
        <v>34</v>
      </c>
      <c r="L38" s="38" t="s">
        <v>34</v>
      </c>
    </row>
    <row r="39" spans="1:12" ht="15.6" x14ac:dyDescent="0.3">
      <c r="A39" s="8">
        <f t="shared" si="0"/>
        <v>38</v>
      </c>
      <c r="B39" s="35" t="s">
        <v>82</v>
      </c>
      <c r="C39" s="36">
        <v>0</v>
      </c>
      <c r="D39" s="36">
        <v>0</v>
      </c>
      <c r="E39" s="21">
        <v>0</v>
      </c>
      <c r="F39" s="22">
        <v>0</v>
      </c>
      <c r="G39" s="22">
        <v>0</v>
      </c>
      <c r="H39" s="22">
        <v>0</v>
      </c>
      <c r="I39" s="12">
        <v>0</v>
      </c>
      <c r="J39" s="20" t="s">
        <v>83</v>
      </c>
      <c r="K39" s="37" t="s">
        <v>34</v>
      </c>
      <c r="L39" s="38" t="s">
        <v>34</v>
      </c>
    </row>
    <row r="40" spans="1:12" ht="15.6" x14ac:dyDescent="0.3">
      <c r="A40" s="8">
        <f t="shared" si="0"/>
        <v>39</v>
      </c>
      <c r="B40" s="35" t="s">
        <v>84</v>
      </c>
      <c r="C40" s="36">
        <v>0.35416666666666669</v>
      </c>
      <c r="D40" s="36">
        <v>0.72916666666666663</v>
      </c>
      <c r="E40" s="21">
        <v>9</v>
      </c>
      <c r="F40" s="22">
        <v>1</v>
      </c>
      <c r="G40" s="22">
        <v>0</v>
      </c>
      <c r="H40" s="12">
        <v>8</v>
      </c>
      <c r="I40" s="12">
        <v>0</v>
      </c>
      <c r="J40" s="20"/>
      <c r="K40" s="41">
        <v>0.5</v>
      </c>
      <c r="L40" s="42">
        <v>0.54166666666666663</v>
      </c>
    </row>
    <row r="41" spans="1:12" ht="15.6" x14ac:dyDescent="0.3">
      <c r="A41" s="8">
        <f t="shared" si="0"/>
        <v>40</v>
      </c>
      <c r="B41" s="35" t="s">
        <v>85</v>
      </c>
      <c r="C41" s="36">
        <v>0.375</v>
      </c>
      <c r="D41" s="36">
        <v>0.75</v>
      </c>
      <c r="E41" s="21">
        <v>9</v>
      </c>
      <c r="F41" s="22">
        <v>1</v>
      </c>
      <c r="G41" s="22">
        <v>0</v>
      </c>
      <c r="H41" s="12">
        <v>8</v>
      </c>
      <c r="I41" s="12">
        <v>0</v>
      </c>
      <c r="J41" s="20"/>
      <c r="K41" s="41">
        <v>0.5</v>
      </c>
      <c r="L41" s="42">
        <v>0.54166666666666663</v>
      </c>
    </row>
    <row r="42" spans="1:12" ht="15.6" x14ac:dyDescent="0.3">
      <c r="A42" s="8">
        <f t="shared" si="0"/>
        <v>41</v>
      </c>
      <c r="B42" s="35" t="s">
        <v>86</v>
      </c>
      <c r="C42" s="36">
        <v>0</v>
      </c>
      <c r="D42" s="36">
        <v>0</v>
      </c>
      <c r="E42" s="22">
        <v>0</v>
      </c>
      <c r="F42" s="22">
        <v>0</v>
      </c>
      <c r="G42" s="22">
        <v>1</v>
      </c>
      <c r="H42" s="22">
        <v>0</v>
      </c>
      <c r="I42" s="22">
        <v>8</v>
      </c>
      <c r="J42" s="20" t="s">
        <v>87</v>
      </c>
      <c r="K42" s="37" t="s">
        <v>34</v>
      </c>
      <c r="L42" s="38" t="s">
        <v>34</v>
      </c>
    </row>
    <row r="43" spans="1:12" ht="15.6" x14ac:dyDescent="0.3">
      <c r="A43" s="8">
        <f t="shared" si="0"/>
        <v>42</v>
      </c>
      <c r="B43" s="35" t="s">
        <v>88</v>
      </c>
      <c r="C43" s="36">
        <v>0</v>
      </c>
      <c r="D43" s="36">
        <v>0</v>
      </c>
      <c r="E43" s="22">
        <v>0</v>
      </c>
      <c r="F43" s="22">
        <v>0</v>
      </c>
      <c r="G43" s="22">
        <v>0.5</v>
      </c>
      <c r="H43" s="22">
        <v>0</v>
      </c>
      <c r="I43" s="22">
        <v>4</v>
      </c>
      <c r="J43" s="20" t="s">
        <v>89</v>
      </c>
      <c r="K43" s="37" t="s">
        <v>34</v>
      </c>
      <c r="L43" s="38" t="s">
        <v>34</v>
      </c>
    </row>
    <row r="44" spans="1:12" ht="15.6" x14ac:dyDescent="0.3">
      <c r="A44" s="8">
        <f t="shared" si="0"/>
        <v>43</v>
      </c>
      <c r="B44" s="35" t="s">
        <v>90</v>
      </c>
      <c r="C44" s="36">
        <v>0.33333333333333331</v>
      </c>
      <c r="D44" s="36">
        <v>0.70833333333333337</v>
      </c>
      <c r="E44" s="21">
        <v>9</v>
      </c>
      <c r="F44" s="49">
        <v>1</v>
      </c>
      <c r="G44" s="50">
        <v>0</v>
      </c>
      <c r="H44" s="12">
        <v>8</v>
      </c>
      <c r="I44" s="12">
        <v>0</v>
      </c>
      <c r="J44" s="15"/>
      <c r="K44" s="41">
        <v>0.5</v>
      </c>
      <c r="L44" s="42">
        <v>0.54166666666666663</v>
      </c>
    </row>
    <row r="45" spans="1:12" ht="15.6" x14ac:dyDescent="0.3">
      <c r="A45" s="8">
        <f t="shared" si="0"/>
        <v>44</v>
      </c>
      <c r="B45" s="35" t="s">
        <v>91</v>
      </c>
      <c r="C45" s="36">
        <v>0.35416666666666669</v>
      </c>
      <c r="D45" s="36">
        <v>0.72916666666666663</v>
      </c>
      <c r="E45" s="21">
        <v>9</v>
      </c>
      <c r="F45" s="49">
        <v>1</v>
      </c>
      <c r="G45" s="50">
        <v>0</v>
      </c>
      <c r="H45" s="12">
        <v>8</v>
      </c>
      <c r="I45" s="12">
        <v>0</v>
      </c>
      <c r="J45" s="15"/>
      <c r="K45" s="41">
        <v>0.5</v>
      </c>
      <c r="L45" s="42">
        <v>0.54166666666666663</v>
      </c>
    </row>
    <row r="46" spans="1:12" ht="15.6" x14ac:dyDescent="0.3">
      <c r="A46" s="8">
        <f t="shared" si="0"/>
        <v>45</v>
      </c>
      <c r="B46" s="35" t="s">
        <v>92</v>
      </c>
      <c r="C46" s="36">
        <v>0.39583333333333331</v>
      </c>
      <c r="D46" s="36">
        <v>0.77083333333333337</v>
      </c>
      <c r="E46" s="21">
        <v>9</v>
      </c>
      <c r="F46" s="49">
        <v>1</v>
      </c>
      <c r="G46" s="50">
        <v>0</v>
      </c>
      <c r="H46" s="12">
        <v>8</v>
      </c>
      <c r="I46" s="12">
        <v>0</v>
      </c>
      <c r="J46" s="15"/>
      <c r="K46" s="41">
        <v>0.5</v>
      </c>
      <c r="L46" s="42">
        <v>0.54166666666666663</v>
      </c>
    </row>
    <row r="47" spans="1:12" ht="15.6" x14ac:dyDescent="0.3">
      <c r="A47" s="8">
        <f t="shared" si="0"/>
        <v>46</v>
      </c>
      <c r="B47" s="35" t="s">
        <v>93</v>
      </c>
      <c r="C47" s="36">
        <v>0.33333333333333331</v>
      </c>
      <c r="D47" s="36">
        <v>0.70833333333333337</v>
      </c>
      <c r="E47" s="21">
        <v>9</v>
      </c>
      <c r="F47" s="49">
        <v>1</v>
      </c>
      <c r="G47" s="50">
        <v>0</v>
      </c>
      <c r="H47" s="12">
        <v>8</v>
      </c>
      <c r="I47" s="12">
        <v>0</v>
      </c>
      <c r="J47" s="15"/>
      <c r="K47" s="41">
        <v>0.5</v>
      </c>
      <c r="L47" s="42">
        <v>0.54166666666666663</v>
      </c>
    </row>
    <row r="48" spans="1:12" ht="15.6" x14ac:dyDescent="0.3">
      <c r="A48" s="8">
        <f t="shared" si="0"/>
        <v>47</v>
      </c>
      <c r="B48" s="35" t="s">
        <v>94</v>
      </c>
      <c r="C48" s="36">
        <v>0.375</v>
      </c>
      <c r="D48" s="36">
        <v>0.75</v>
      </c>
      <c r="E48" s="21">
        <v>9</v>
      </c>
      <c r="F48" s="49">
        <v>1</v>
      </c>
      <c r="G48" s="50">
        <v>0</v>
      </c>
      <c r="H48" s="12">
        <v>8</v>
      </c>
      <c r="I48" s="12">
        <v>0</v>
      </c>
      <c r="J48" s="15"/>
      <c r="K48" s="41">
        <v>0.5</v>
      </c>
      <c r="L48" s="42">
        <v>0.54166666666666663</v>
      </c>
    </row>
    <row r="49" spans="1:12" ht="15.6" x14ac:dyDescent="0.3">
      <c r="A49" s="8">
        <f t="shared" si="0"/>
        <v>48</v>
      </c>
      <c r="B49" s="35" t="s">
        <v>95</v>
      </c>
      <c r="C49" s="36">
        <v>0.41666666666666669</v>
      </c>
      <c r="D49" s="36">
        <v>0.79166666666666663</v>
      </c>
      <c r="E49" s="21">
        <v>9</v>
      </c>
      <c r="F49" s="49">
        <v>1</v>
      </c>
      <c r="G49" s="50">
        <v>0</v>
      </c>
      <c r="H49" s="12">
        <v>8</v>
      </c>
      <c r="I49" s="12">
        <v>0</v>
      </c>
      <c r="J49" s="15"/>
      <c r="K49" s="41">
        <v>0.5</v>
      </c>
      <c r="L49" s="42">
        <v>0.54166666666666663</v>
      </c>
    </row>
    <row r="50" spans="1:12" ht="15.6" x14ac:dyDescent="0.3">
      <c r="A50" s="8">
        <f t="shared" si="0"/>
        <v>49</v>
      </c>
      <c r="B50" s="35" t="s">
        <v>96</v>
      </c>
      <c r="C50" s="36">
        <v>0.45833333333333331</v>
      </c>
      <c r="D50" s="36">
        <v>0.83333333333333337</v>
      </c>
      <c r="E50" s="21">
        <v>9</v>
      </c>
      <c r="F50" s="49">
        <v>1</v>
      </c>
      <c r="G50" s="50">
        <v>0</v>
      </c>
      <c r="H50" s="12">
        <v>8</v>
      </c>
      <c r="I50" s="12">
        <v>0</v>
      </c>
      <c r="J50" s="15"/>
      <c r="K50" s="41">
        <v>0.5</v>
      </c>
      <c r="L50" s="42">
        <v>0.54166666666666663</v>
      </c>
    </row>
    <row r="51" spans="1:12" ht="15.6" x14ac:dyDescent="0.3">
      <c r="A51" s="8">
        <f t="shared" si="0"/>
        <v>50</v>
      </c>
      <c r="B51" s="35" t="s">
        <v>97</v>
      </c>
      <c r="C51" s="36">
        <v>0.54166666666666663</v>
      </c>
      <c r="D51" s="36">
        <v>0.70833333333333337</v>
      </c>
      <c r="E51" s="21">
        <v>4</v>
      </c>
      <c r="F51" s="49">
        <v>0.5</v>
      </c>
      <c r="G51" s="50">
        <v>0</v>
      </c>
      <c r="H51" s="22">
        <v>4</v>
      </c>
      <c r="I51" s="12">
        <v>0</v>
      </c>
      <c r="J51" s="15"/>
      <c r="K51" s="41" t="s">
        <v>34</v>
      </c>
      <c r="L51" s="42" t="s">
        <v>34</v>
      </c>
    </row>
    <row r="52" spans="1:12" ht="15.6" x14ac:dyDescent="0.3">
      <c r="A52" s="8">
        <f t="shared" si="0"/>
        <v>51</v>
      </c>
      <c r="B52" s="35" t="s">
        <v>98</v>
      </c>
      <c r="C52" s="36"/>
      <c r="D52" s="36"/>
      <c r="E52" s="21">
        <v>0</v>
      </c>
      <c r="F52" s="49">
        <v>1</v>
      </c>
      <c r="G52" s="50">
        <v>0</v>
      </c>
      <c r="H52" s="22">
        <v>0</v>
      </c>
      <c r="I52" s="12">
        <v>0</v>
      </c>
      <c r="J52" s="20" t="s">
        <v>99</v>
      </c>
      <c r="K52" s="41" t="s">
        <v>34</v>
      </c>
      <c r="L52" s="42" t="s">
        <v>34</v>
      </c>
    </row>
    <row r="53" spans="1:12" ht="15.6" x14ac:dyDescent="0.3">
      <c r="A53" s="8">
        <f t="shared" si="0"/>
        <v>52</v>
      </c>
      <c r="B53" s="35" t="s">
        <v>100</v>
      </c>
      <c r="C53" s="36">
        <v>0.375</v>
      </c>
      <c r="D53" s="36">
        <v>0.58333333333333337</v>
      </c>
      <c r="E53" s="21">
        <v>5</v>
      </c>
      <c r="F53" s="49">
        <v>0.5</v>
      </c>
      <c r="G53" s="50">
        <v>0</v>
      </c>
      <c r="H53" s="22">
        <v>4</v>
      </c>
      <c r="I53" s="12">
        <v>0</v>
      </c>
      <c r="J53" s="15"/>
      <c r="K53" s="41">
        <v>0.5</v>
      </c>
      <c r="L53" s="42">
        <v>0.54166666666666663</v>
      </c>
    </row>
    <row r="54" spans="1:12" ht="15.6" x14ac:dyDescent="0.3">
      <c r="A54" s="8">
        <f t="shared" si="0"/>
        <v>53</v>
      </c>
      <c r="B54" s="19" t="s">
        <v>101</v>
      </c>
      <c r="C54" s="36"/>
      <c r="D54" s="36"/>
      <c r="E54" s="21">
        <v>0</v>
      </c>
      <c r="F54" s="49">
        <v>0</v>
      </c>
      <c r="G54" s="50">
        <v>0</v>
      </c>
      <c r="H54" s="22">
        <v>0</v>
      </c>
      <c r="I54" s="12">
        <v>0</v>
      </c>
      <c r="J54" s="15"/>
      <c r="K54" s="41" t="s">
        <v>34</v>
      </c>
      <c r="L54" s="42" t="s">
        <v>34</v>
      </c>
    </row>
    <row r="55" spans="1:12" ht="15.6" x14ac:dyDescent="0.3">
      <c r="A55" s="8">
        <f t="shared" si="0"/>
        <v>54</v>
      </c>
      <c r="B55" s="51" t="s">
        <v>102</v>
      </c>
      <c r="C55" s="52"/>
      <c r="D55" s="52"/>
      <c r="E55" s="49">
        <v>0</v>
      </c>
      <c r="F55" s="49">
        <v>0</v>
      </c>
      <c r="G55" s="50">
        <v>0</v>
      </c>
      <c r="H55" s="22">
        <v>0</v>
      </c>
      <c r="I55" s="12">
        <v>0</v>
      </c>
      <c r="J55" s="15"/>
      <c r="K55" s="41" t="s">
        <v>34</v>
      </c>
      <c r="L55" s="42" t="s">
        <v>34</v>
      </c>
    </row>
    <row r="56" spans="1:12" ht="15.6" x14ac:dyDescent="0.3">
      <c r="A56" s="8">
        <f t="shared" si="0"/>
        <v>55</v>
      </c>
      <c r="B56" s="53" t="s">
        <v>103</v>
      </c>
      <c r="C56" s="36">
        <v>0.58333333333333337</v>
      </c>
      <c r="D56" s="36">
        <v>0.75</v>
      </c>
      <c r="E56" s="21">
        <v>4</v>
      </c>
      <c r="F56" s="54">
        <v>0.5</v>
      </c>
      <c r="G56" s="22">
        <v>0.5</v>
      </c>
      <c r="H56" s="55">
        <v>4</v>
      </c>
      <c r="I56" s="55">
        <v>4</v>
      </c>
      <c r="J56" s="20" t="s">
        <v>51</v>
      </c>
      <c r="K56" s="37" t="s">
        <v>34</v>
      </c>
      <c r="L56" s="38" t="s">
        <v>34</v>
      </c>
    </row>
    <row r="57" spans="1:12" ht="15.6" x14ac:dyDescent="0.3">
      <c r="A57" s="8">
        <f t="shared" si="0"/>
        <v>56</v>
      </c>
      <c r="B57" s="56" t="s">
        <v>104</v>
      </c>
      <c r="C57" s="57">
        <v>0.58333333333333337</v>
      </c>
      <c r="D57" s="57">
        <v>0.75</v>
      </c>
      <c r="E57" s="58">
        <v>4</v>
      </c>
      <c r="F57" s="59">
        <v>0.5</v>
      </c>
      <c r="G57" s="60">
        <v>0</v>
      </c>
      <c r="H57" s="61">
        <v>4</v>
      </c>
      <c r="I57" s="61">
        <v>0</v>
      </c>
      <c r="J57" s="62" t="s">
        <v>54</v>
      </c>
      <c r="K57" s="63" t="s">
        <v>34</v>
      </c>
      <c r="L57" s="64" t="s">
        <v>34</v>
      </c>
    </row>
    <row r="58" spans="1:12" ht="15.6" x14ac:dyDescent="0.3">
      <c r="A58" s="8">
        <f t="shared" si="0"/>
        <v>57</v>
      </c>
      <c r="B58" s="65" t="s">
        <v>105</v>
      </c>
      <c r="C58" s="52">
        <v>0.375</v>
      </c>
      <c r="D58" s="52">
        <v>0.54166666666666663</v>
      </c>
      <c r="E58" s="21">
        <v>4</v>
      </c>
      <c r="F58" s="49">
        <v>0.5</v>
      </c>
      <c r="G58" s="50">
        <v>0</v>
      </c>
      <c r="H58" s="22">
        <v>4</v>
      </c>
      <c r="I58" s="12">
        <v>0</v>
      </c>
      <c r="J58" s="20" t="s">
        <v>54</v>
      </c>
      <c r="K58" s="41" t="s">
        <v>34</v>
      </c>
      <c r="L58" s="42" t="s">
        <v>34</v>
      </c>
    </row>
    <row r="59" spans="1:12" ht="15.6" x14ac:dyDescent="0.3">
      <c r="A59" s="8">
        <f t="shared" si="0"/>
        <v>58</v>
      </c>
      <c r="B59" s="65" t="s">
        <v>106</v>
      </c>
      <c r="C59" s="52">
        <v>0.375</v>
      </c>
      <c r="D59" s="52">
        <v>0.54166666666666663</v>
      </c>
      <c r="E59" s="21">
        <v>4</v>
      </c>
      <c r="F59" s="49">
        <v>0.5</v>
      </c>
      <c r="G59" s="50">
        <v>0.5</v>
      </c>
      <c r="H59" s="22">
        <v>4</v>
      </c>
      <c r="I59" s="12">
        <v>0</v>
      </c>
      <c r="J59" s="20" t="s">
        <v>51</v>
      </c>
      <c r="K59" s="41" t="s">
        <v>34</v>
      </c>
      <c r="L59" s="42" t="s">
        <v>34</v>
      </c>
    </row>
    <row r="60" spans="1:12" ht="15.6" x14ac:dyDescent="0.3">
      <c r="A60" s="8">
        <f t="shared" si="0"/>
        <v>59</v>
      </c>
      <c r="B60" s="56" t="s">
        <v>107</v>
      </c>
      <c r="C60" s="52">
        <v>0.39583333333333331</v>
      </c>
      <c r="D60" s="52">
        <v>0.5625</v>
      </c>
      <c r="E60" s="21">
        <v>4</v>
      </c>
      <c r="F60" s="49">
        <v>0.5</v>
      </c>
      <c r="G60" s="50">
        <v>0</v>
      </c>
      <c r="H60" s="22">
        <v>4</v>
      </c>
      <c r="I60" s="12">
        <v>0</v>
      </c>
      <c r="J60" s="20" t="s">
        <v>54</v>
      </c>
      <c r="K60" s="66" t="s">
        <v>34</v>
      </c>
      <c r="L60" s="67" t="s">
        <v>34</v>
      </c>
    </row>
  </sheetData>
  <mergeCells count="1">
    <mergeCell ref="Q2:Q6"/>
  </mergeCells>
  <conditionalFormatting sqref="B1:B43">
    <cfRule type="duplicateValues" dxfId="23" priority="2"/>
  </conditionalFormatting>
  <conditionalFormatting sqref="B2:B60">
    <cfRule type="duplicateValues" dxfId="22" priority="4"/>
  </conditionalFormatting>
  <conditionalFormatting sqref="B44:B55">
    <cfRule type="duplicateValues" dxfId="21" priority="3"/>
  </conditionalFormatting>
  <conditionalFormatting sqref="B56:B57">
    <cfRule type="duplicateValues" dxfId="20" priority="1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Hải Long (VSF-DL-KS-DLAI)</dc:creator>
  <cp:lastModifiedBy>Đặng Hải Long (VSF-DL-KS-DLAI)</cp:lastModifiedBy>
  <dcterms:created xsi:type="dcterms:W3CDTF">2026-05-08T13:14:53Z</dcterms:created>
  <dcterms:modified xsi:type="dcterms:W3CDTF">2026-05-08T13:15:12Z</dcterms:modified>
</cp:coreProperties>
</file>